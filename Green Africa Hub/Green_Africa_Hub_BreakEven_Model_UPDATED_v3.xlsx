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6"/>
  </bookViews>
  <sheets>
    <sheet name="BreakEvenModel" sheetId="1" r:id="rId1"/>
    <sheet name="5yr Projection" sheetId="2" r:id="rId2"/>
    <sheet name="Automated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<sst xmlns="http://schemas.openxmlformats.org/spreadsheetml/2006/main" count="84" uniqueCount="60">
  <si>
    <t>Green Africa Hub - Break-Even Model (Updated)</t>
  </si>
  <si>
    <t>Base case aligned to revised plan targeting c. £55k revenue in Year 3</t>
  </si>
  <si>
    <t>Assumptions</t>
  </si>
  <si>
    <t>Sheet Index</t>
  </si>
  <si>
    <t>Starting capital (£)</t>
  </si>
  <si>
    <t>BreakEvenModel</t>
  </si>
  <si>
    <t>Workshop ticket price (£)</t>
  </si>
  <si>
    <t>5yr Projection</t>
  </si>
  <si>
    <t>Average participants per workshop</t>
  </si>
  <si>
    <t>Automated Summary</t>
  </si>
  <si>
    <t>Workshop revenue (£)</t>
  </si>
  <si>
    <t>Venue cost per workshop (£)</t>
  </si>
  <si>
    <t>Ingredients/materials per workshop (£)</t>
  </si>
  <si>
    <t>Other variable cost per workshop (£)</t>
  </si>
  <si>
    <t>Total variable cost per workshop (£)</t>
  </si>
  <si>
    <t>Contribution per workshop (£)</t>
  </si>
  <si>
    <t>Fixed monthly costs (£)</t>
  </si>
  <si>
    <t>Sessions-only break-even (per month)</t>
  </si>
  <si>
    <t>Monthly financial break-even month</t>
  </si>
  <si>
    <t>Revenue stream</t>
  </si>
  <si>
    <t>Year 1 (£)</t>
  </si>
  <si>
    <t>Year 2 (£)</t>
  </si>
  <si>
    <t>Year 3 (£)</t>
  </si>
  <si>
    <t>In-person sessions</t>
  </si>
  <si>
    <t>Digital subscriptions</t>
  </si>
  <si>
    <t>Kitchen memberships</t>
  </si>
  <si>
    <t>Equipment commissions</t>
  </si>
  <si>
    <t>B2B events &amp; consulting</t>
  </si>
  <si>
    <t>Total revenue</t>
  </si>
  <si>
    <t>Metric</t>
  </si>
  <si>
    <t>Value</t>
  </si>
  <si>
    <t>Year 1 revenue (£)</t>
  </si>
  <si>
    <t>Year 2 revenue (£)</t>
  </si>
  <si>
    <t>Year 3 revenue (£)</t>
  </si>
  <si>
    <t>Total 3-year revenue (£)</t>
  </si>
  <si>
    <t>Year 1 profit (£)</t>
  </si>
  <si>
    <t>Year 2 profit (£)</t>
  </si>
  <si>
    <t>Year 3 profit (£)</t>
  </si>
  <si>
    <t>Total 3-year profit (£)</t>
  </si>
  <si>
    <t>Final cumulative cash (£)</t>
  </si>
  <si>
    <t>Break-even month</t>
  </si>
  <si>
    <t>Notes</t>
  </si>
  <si>
    <t>This workbook reflects the revised business-plan base case targeting c. £55k Year 3 revenue.</t>
  </si>
  <si>
    <t>Community workshops remain priced at £20; higher total revenue comes from subscriptions, memberships and B2B consulting.</t>
  </si>
  <si>
    <t>Green Africa Hub - 5 Year Financial Projection</t>
  </si>
  <si>
    <t>Years 1-3 align with the revised business-plan base case; Years 4-5 show onward scaling.</t>
  </si>
  <si>
    <t>Year 1</t>
  </si>
  <si>
    <t>Year 2</t>
  </si>
  <si>
    <t>Year 3</t>
  </si>
  <si>
    <t>Year 4</t>
  </si>
  <si>
    <t>Year 5</t>
  </si>
  <si>
    <t>Profit</t>
  </si>
  <si>
    <t>Cumulative profit</t>
  </si>
  <si>
    <t>Green Africa Hub - Automated Financial Summary</t>
  </si>
  <si>
    <t>Year 4 revenue (£)</t>
  </si>
  <si>
    <t>Year 5 revenue (£)</t>
  </si>
  <si>
    <t>Total 5-year revenue (£)</t>
  </si>
  <si>
    <t>Year 4 profit (£)</t>
  </si>
  <si>
    <t>Year 5 profit (£)</t>
  </si>
  <si>
    <t>Total 5-year profit (£)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</si>
</sst>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£&quot;#,##0;[Red]\(&quot;£&quot;#,##0\);\-"/>
  </numFmts>
  <fonts count="28">
    <font>
      <sz val="11"/>
      <color theme="1"/>
      <name val="Calibri"/>
      <charset val="134"/>
      <scheme val="minor"/>
    </font>
    <font>
      <b/>
      <sz val="14"/>
      <name val="Calibri"/>
      <charset val="134"/>
    </font>
    <font>
      <b/>
      <sz val="11"/>
      <color rgb="FFFFFFFF"/>
      <name val="Calibri"/>
      <charset val="134"/>
    </font>
    <font>
      <sz val="11"/>
      <color rgb="FF008000"/>
      <name val="Calibri"/>
      <charset val="134"/>
    </font>
    <font>
      <sz val="11"/>
      <color rgb="FF000000"/>
      <name val="Calibri"/>
      <charset val="134"/>
    </font>
    <font>
      <sz val="11"/>
      <color rgb="FF0000FF"/>
      <name val="Calibri"/>
      <charset val="134"/>
    </font>
    <font>
      <b/>
      <sz val="11"/>
      <name val="Calibri"/>
      <charset val="134"/>
    </font>
    <font>
      <u/>
      <sz val="11"/>
      <color rgb="FF0000FF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3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176" fontId="5" fillId="3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6" fillId="0" borderId="1" xfId="0" applyFont="1" applyBorder="1"/>
    <xf numFmtId="0" fontId="0" fillId="0" borderId="1" xfId="0" applyBorder="1"/>
    <xf numFmtId="176" fontId="5" fillId="0" borderId="1" xfId="0" applyNumberFormat="1" applyFont="1" applyBorder="1" applyAlignment="1">
      <alignment horizontal="right" vertical="center"/>
    </xf>
    <xf numFmtId="0" fontId="0" fillId="0" borderId="2" xfId="0" applyBorder="1"/>
    <xf numFmtId="0" fontId="7" fillId="0" borderId="1" xfId="0" applyFont="1" applyBorder="1"/>
    <xf numFmtId="3" fontId="5" fillId="3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#'Automated Summary'!A1" TargetMode="External"/><Relationship Id="rId2" Type="http://schemas.openxmlformats.org/officeDocument/2006/relationships/hyperlink" Target="#'5yr Projection'!A1" TargetMode="External"/><Relationship Id="rId1" Type="http://schemas.openxmlformats.org/officeDocument/2006/relationships/hyperlink" Target="#'BreakEvenModel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5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E37" sqref="E37"/>
    </sheetView>
  </sheetViews>
  <sheetFormatPr defaultColWidth="9" defaultRowHeight="14.4" outlineLevelCol="4"/>
  <cols>
    <col min="1" max="1" width="3" customWidth="1"/>
    <col min="2" max="2" width="32" customWidth="1"/>
    <col min="3" max="6" width="16" customWidth="1"/>
  </cols>
  <sheetData>
    <row r="2" ht="18" spans="2:5">
      <c r="B2" s="1" t="s">
        <v>0</v>
      </c>
    </row>
    <row r="3" spans="2:5">
      <c r="B3" t="s">
        <v>1</v>
      </c>
    </row>
    <row r="5" spans="2:5">
      <c r="B5" s="2" t="s">
        <v>2</v>
      </c>
      <c r="C5" s="11"/>
      <c r="D5" s="2"/>
      <c r="E5" s="2" t="s">
        <v>3</v>
      </c>
    </row>
    <row r="6" spans="2:5">
      <c r="B6" s="3" t="s">
        <v>4</v>
      </c>
      <c r="C6" s="6">
        <v>1500</v>
      </c>
      <c r="E6" s="12" t="s">
        <v>5</v>
      </c>
    </row>
    <row r="7" spans="2:5">
      <c r="B7" s="3" t="s">
        <v>6</v>
      </c>
      <c r="C7" s="6">
        <v>20</v>
      </c>
      <c r="E7" s="12" t="s">
        <v>7</v>
      </c>
    </row>
    <row r="8" spans="2:5">
      <c r="B8" s="3" t="s">
        <v>8</v>
      </c>
      <c r="C8" s="13">
        <v>10</v>
      </c>
      <c r="E8" s="12" t="s">
        <v>9</v>
      </c>
    </row>
    <row r="9" spans="2:5">
      <c r="B9" s="3" t="s">
        <v>10</v>
      </c>
      <c r="C9" s="5">
        <f>C7*C8</f>
        <v>200</v>
      </c>
    </row>
    <row r="10" spans="2:5">
      <c r="B10" s="3" t="s">
        <v>11</v>
      </c>
      <c r="C10" s="6">
        <v>112</v>
      </c>
    </row>
    <row r="11" spans="2:5">
      <c r="B11" s="3" t="s">
        <v>12</v>
      </c>
      <c r="C11" s="6">
        <v>60</v>
      </c>
    </row>
    <row r="12" spans="2:5">
      <c r="B12" s="3" t="s">
        <v>13</v>
      </c>
      <c r="C12" s="6">
        <v>10</v>
      </c>
    </row>
    <row r="13" spans="2:5">
      <c r="B13" s="3" t="s">
        <v>14</v>
      </c>
      <c r="C13" s="5">
        <f>C10+C11+C12</f>
        <v>182</v>
      </c>
    </row>
    <row r="14" spans="2:5">
      <c r="B14" s="3" t="s">
        <v>15</v>
      </c>
      <c r="C14" s="5">
        <f>C9-C13</f>
        <v>18</v>
      </c>
    </row>
    <row r="15" spans="2:5">
      <c r="B15" s="3" t="s">
        <v>16</v>
      </c>
      <c r="C15" s="6">
        <v>1200</v>
      </c>
    </row>
    <row r="16" spans="2:5">
      <c r="B16" s="3" t="s">
        <v>17</v>
      </c>
      <c r="C16" s="5">
        <f>ROUNDUP(C15/C14,0)</f>
        <v>67</v>
      </c>
    </row>
    <row r="17" spans="2:5">
      <c r="B17" s="3" t="s">
        <v>18</v>
      </c>
      <c r="C17" s="13">
        <v>5</v>
      </c>
    </row>
    <row r="20" spans="2:5">
      <c r="B20" s="2" t="s">
        <v>19</v>
      </c>
      <c r="C20" s="2" t="s">
        <v>20</v>
      </c>
      <c r="D20" s="2" t="s">
        <v>21</v>
      </c>
      <c r="E20" s="2" t="s">
        <v>22</v>
      </c>
    </row>
    <row r="21" spans="2:5">
      <c r="B21" s="3" t="s">
        <v>23</v>
      </c>
      <c r="C21" s="6">
        <v>4500</v>
      </c>
      <c r="D21" s="6">
        <v>9000</v>
      </c>
      <c r="E21" s="6">
        <v>12000</v>
      </c>
    </row>
    <row r="22" spans="2:5">
      <c r="B22" s="3" t="s">
        <v>24</v>
      </c>
      <c r="C22" s="6">
        <v>1200</v>
      </c>
      <c r="D22" s="6">
        <v>3600</v>
      </c>
      <c r="E22" s="6">
        <v>5000</v>
      </c>
    </row>
    <row r="23" spans="2:5">
      <c r="B23" s="3" t="s">
        <v>25</v>
      </c>
      <c r="C23" s="6">
        <v>1500</v>
      </c>
      <c r="D23" s="6">
        <v>3000</v>
      </c>
      <c r="E23" s="6">
        <v>4000</v>
      </c>
    </row>
    <row r="24" spans="2:5">
      <c r="B24" s="3" t="s">
        <v>26</v>
      </c>
      <c r="C24" s="6">
        <v>800</v>
      </c>
      <c r="D24" s="6">
        <v>2000</v>
      </c>
      <c r="E24" s="6">
        <v>3500</v>
      </c>
    </row>
    <row r="25" spans="2:5">
      <c r="B25" s="3" t="s">
        <v>27</v>
      </c>
      <c r="C25" s="6">
        <v>3700</v>
      </c>
      <c r="D25" s="6">
        <v>12600</v>
      </c>
      <c r="E25" s="6">
        <v>30000</v>
      </c>
    </row>
    <row r="26" spans="2:5">
      <c r="B26" s="14" t="s">
        <v>28</v>
      </c>
      <c r="C26" s="15">
        <f>SUM(C21:C25)</f>
        <v>11700</v>
      </c>
      <c r="D26" s="15">
        <f>SUM(D21:D25)</f>
        <v>30200</v>
      </c>
      <c r="E26" s="15">
        <f>SUM(E21:E25)</f>
        <v>54500</v>
      </c>
    </row>
    <row r="29" spans="2:5">
      <c r="B29" s="2" t="s">
        <v>29</v>
      </c>
      <c r="C29" s="2" t="s">
        <v>30</v>
      </c>
    </row>
    <row r="30" spans="2:5">
      <c r="B30" s="3" t="s">
        <v>4</v>
      </c>
      <c r="C30" s="5">
        <f>C6</f>
        <v>1500</v>
      </c>
    </row>
    <row r="31" spans="2:5">
      <c r="B31" s="3" t="s">
        <v>31</v>
      </c>
      <c r="C31" s="5">
        <f>C26</f>
        <v>11700</v>
      </c>
    </row>
    <row r="32" spans="2:5">
      <c r="B32" s="3" t="s">
        <v>32</v>
      </c>
      <c r="C32" s="5">
        <f>D26</f>
        <v>30200</v>
      </c>
    </row>
    <row r="33" spans="2:3">
      <c r="B33" s="3" t="s">
        <v>33</v>
      </c>
      <c r="C33" s="5">
        <f>E26</f>
        <v>54500</v>
      </c>
    </row>
    <row r="34" spans="2:3">
      <c r="B34" s="3" t="s">
        <v>34</v>
      </c>
      <c r="C34" s="5">
        <f>SUM(C26:E26)</f>
        <v>96400</v>
      </c>
    </row>
    <row r="35" spans="2:3">
      <c r="B35" s="3" t="s">
        <v>35</v>
      </c>
      <c r="C35" s="6">
        <v>4093</v>
      </c>
    </row>
    <row r="36" spans="2:3">
      <c r="B36" s="3" t="s">
        <v>36</v>
      </c>
      <c r="C36" s="6">
        <v>19038</v>
      </c>
    </row>
    <row r="37" spans="2:3">
      <c r="B37" s="3" t="s">
        <v>37</v>
      </c>
      <c r="C37" s="6">
        <v>21144</v>
      </c>
    </row>
    <row r="38" spans="2:3">
      <c r="B38" s="3" t="s">
        <v>38</v>
      </c>
      <c r="C38" s="5">
        <f>SUM(C35:C37)</f>
        <v>44275</v>
      </c>
    </row>
    <row r="39" spans="2:3">
      <c r="B39" s="3" t="s">
        <v>39</v>
      </c>
      <c r="C39" s="5">
        <f>C38+C30</f>
        <v>45775</v>
      </c>
    </row>
    <row r="40" spans="2:3">
      <c r="B40" s="3" t="s">
        <v>40</v>
      </c>
      <c r="C40" s="16">
        <f>C17</f>
        <v>5</v>
      </c>
    </row>
    <row r="43" spans="2:3">
      <c r="B43" s="17" t="s">
        <v>41</v>
      </c>
    </row>
    <row r="44" spans="2:3">
      <c r="B44" t="s">
        <v>42</v>
      </c>
    </row>
    <row r="45" spans="2:3">
      <c r="B45" t="s">
        <v>43</v>
      </c>
    </row>
  </sheetData>
  <mergeCells count="5">
    <mergeCell ref="B2:E2"/>
    <mergeCell ref="B3:E3"/>
    <mergeCell ref="B5:C5"/>
    <mergeCell ref="B44:E44"/>
    <mergeCell ref="B45:E45"/>
  </mergeCells>
  <hyperlinks>
    <hyperlink ref="E6" r:id="rId1" display="BreakEvenModel"/>
    <hyperlink ref="E7" r:id="rId2" display="5yr Projection"/>
    <hyperlink ref="E8" r:id="rId3" display="Automated Summary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6"/>
  <sheetViews>
    <sheetView workbookViewId="0">
      <pane xSplit="1" ySplit="4" topLeftCell="B7" activePane="bottomRight" state="frozen"/>
      <selection/>
      <selection pane="topRight"/>
      <selection pane="bottomLeft"/>
      <selection pane="bottomRight" activeCell="J11" sqref="J11"/>
    </sheetView>
  </sheetViews>
  <sheetFormatPr defaultColWidth="9" defaultRowHeight="14.4" outlineLevelCol="6"/>
  <cols>
    <col min="1" max="1" width="3" customWidth="1"/>
    <col min="2" max="2" width="28" customWidth="1"/>
    <col min="3" max="7" width="14" customWidth="1"/>
  </cols>
  <sheetData>
    <row r="2" ht="18" spans="2:7">
      <c r="B2" s="1" t="s">
        <v>44</v>
      </c>
    </row>
    <row r="3" spans="2:7">
      <c r="B3" t="s">
        <v>45</v>
      </c>
    </row>
    <row r="5" spans="2:7">
      <c r="B5" s="2" t="s">
        <v>19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</row>
    <row r="6" spans="2:7">
      <c r="B6" s="3" t="s">
        <v>23</v>
      </c>
      <c r="C6" s="4">
        <f>BreakEvenModel!C21</f>
        <v>4500</v>
      </c>
      <c r="D6" s="4">
        <f>BreakEvenModel!D21</f>
        <v>9000</v>
      </c>
      <c r="E6" s="4">
        <f>BreakEvenModel!E21</f>
        <v>12000</v>
      </c>
      <c r="F6" s="5">
        <f>E6*1.25</f>
        <v>15000</v>
      </c>
      <c r="G6" s="5">
        <f>F6*1.2</f>
        <v>18000</v>
      </c>
    </row>
    <row r="7" spans="2:7">
      <c r="B7" s="3" t="s">
        <v>24</v>
      </c>
      <c r="C7" s="4">
        <f>BreakEvenModel!C22</f>
        <v>1200</v>
      </c>
      <c r="D7" s="4">
        <f>BreakEvenModel!D22</f>
        <v>3600</v>
      </c>
      <c r="E7" s="4">
        <f>BreakEvenModel!E22</f>
        <v>5000</v>
      </c>
      <c r="F7" s="5">
        <f>E7*1.3</f>
        <v>6500</v>
      </c>
      <c r="G7" s="5">
        <f>F7*1.25</f>
        <v>8125</v>
      </c>
    </row>
    <row r="8" spans="2:7">
      <c r="B8" s="3" t="s">
        <v>25</v>
      </c>
      <c r="C8" s="4">
        <f>BreakEvenModel!C23</f>
        <v>1500</v>
      </c>
      <c r="D8" s="4">
        <f>BreakEvenModel!D23</f>
        <v>3000</v>
      </c>
      <c r="E8" s="4">
        <f>BreakEvenModel!E23</f>
        <v>4000</v>
      </c>
      <c r="F8" s="5">
        <f>E8*1.25</f>
        <v>5000</v>
      </c>
      <c r="G8" s="5">
        <f>F8*1.2</f>
        <v>6000</v>
      </c>
    </row>
    <row r="9" spans="2:7">
      <c r="B9" s="3" t="s">
        <v>26</v>
      </c>
      <c r="C9" s="4">
        <f>BreakEvenModel!C24</f>
        <v>800</v>
      </c>
      <c r="D9" s="4">
        <f>BreakEvenModel!D24</f>
        <v>2000</v>
      </c>
      <c r="E9" s="4">
        <f>BreakEvenModel!E24</f>
        <v>3500</v>
      </c>
      <c r="F9" s="5">
        <f>E9*1.2</f>
        <v>4200</v>
      </c>
      <c r="G9" s="5">
        <f>F9*1.15</f>
        <v>4830</v>
      </c>
    </row>
    <row r="10" spans="2:7">
      <c r="B10" s="3" t="s">
        <v>27</v>
      </c>
      <c r="C10" s="4">
        <f>BreakEvenModel!C25</f>
        <v>3700</v>
      </c>
      <c r="D10" s="4">
        <f>BreakEvenModel!D25</f>
        <v>12600</v>
      </c>
      <c r="E10" s="4">
        <f>BreakEvenModel!E25</f>
        <v>30000</v>
      </c>
      <c r="F10" s="5">
        <f>E10*1.2</f>
        <v>36000</v>
      </c>
      <c r="G10" s="5">
        <f>F10*1.2</f>
        <v>43200</v>
      </c>
    </row>
    <row r="11" spans="2:7">
      <c r="B11" s="8" t="s">
        <v>28</v>
      </c>
      <c r="C11" s="5">
        <f>SUM(C6:C10)</f>
        <v>11700</v>
      </c>
      <c r="D11" s="5">
        <f>SUM(D6:D10)</f>
        <v>30200</v>
      </c>
      <c r="E11" s="5">
        <f>SUM(E6:E10)</f>
        <v>54500</v>
      </c>
      <c r="F11" s="5">
        <f>SUM(F6:F10)</f>
        <v>66700</v>
      </c>
      <c r="G11" s="5">
        <f>SUM(G6:G10)</f>
        <v>80155</v>
      </c>
    </row>
    <row r="14" spans="2:7">
      <c r="B14" s="2" t="s">
        <v>29</v>
      </c>
      <c r="C14" s="2" t="s">
        <v>46</v>
      </c>
      <c r="D14" s="2" t="s">
        <v>47</v>
      </c>
      <c r="E14" s="2" t="s">
        <v>48</v>
      </c>
      <c r="F14" s="2" t="s">
        <v>49</v>
      </c>
      <c r="G14" s="2" t="s">
        <v>50</v>
      </c>
    </row>
    <row r="15" spans="2:7">
      <c r="B15" s="9" t="s">
        <v>51</v>
      </c>
      <c r="C15" s="10">
        <v>4093</v>
      </c>
      <c r="D15" s="10">
        <v>19038</v>
      </c>
      <c r="E15" s="10">
        <v>21144</v>
      </c>
      <c r="F15" s="5">
        <f>F11*0.38</f>
        <v>25346</v>
      </c>
      <c r="G15" s="5">
        <f>G11*0.38</f>
        <v>30458.9</v>
      </c>
    </row>
    <row r="16" spans="2:7">
      <c r="B16" s="9" t="s">
        <v>52</v>
      </c>
      <c r="C16" s="5">
        <f ca="1">C16</f>
        <v>0</v>
      </c>
      <c r="D16" s="5">
        <f ca="1">C16+D16</f>
        <v>0</v>
      </c>
      <c r="E16" s="5">
        <f ca="1">E16+E17</f>
        <v>0</v>
      </c>
      <c r="F16" s="5">
        <f ca="1">F16+F17</f>
        <v>0</v>
      </c>
      <c r="G16" s="5">
        <f ca="1">G16+G17</f>
        <v>0</v>
      </c>
    </row>
  </sheetData>
  <mergeCells count="2">
    <mergeCell ref="B2:G2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8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C16" sqref="C16"/>
    </sheetView>
  </sheetViews>
  <sheetFormatPr defaultColWidth="9" defaultRowHeight="14.4" outlineLevelCol="2"/>
  <cols>
    <col min="1" max="1" width="3" customWidth="1"/>
    <col min="2" max="2" width="30" customWidth="1"/>
    <col min="3" max="3" width="30.7777777777778" customWidth="1"/>
  </cols>
  <sheetData>
    <row r="2" ht="18" spans="2:3">
      <c r="B2" s="1" t="s">
        <v>53</v>
      </c>
    </row>
    <row r="4" spans="2:3">
      <c r="B4" s="2" t="s">
        <v>29</v>
      </c>
      <c r="C4" s="2" t="s">
        <v>30</v>
      </c>
    </row>
    <row r="5" spans="2:3">
      <c r="B5" s="3" t="s">
        <v>4</v>
      </c>
      <c r="C5" s="4">
        <f>BreakEvenModel!C6</f>
        <v>1500</v>
      </c>
    </row>
    <row r="6" spans="2:3">
      <c r="B6" s="3" t="s">
        <v>31</v>
      </c>
      <c r="C6" s="4">
        <f>'5yr Projection'!C11</f>
        <v>11700</v>
      </c>
    </row>
    <row r="7" spans="2:3">
      <c r="B7" s="3" t="s">
        <v>32</v>
      </c>
      <c r="C7" s="4">
        <f>'5yr Projection'!D11</f>
        <v>30200</v>
      </c>
    </row>
    <row r="8" spans="2:3">
      <c r="B8" s="3" t="s">
        <v>33</v>
      </c>
      <c r="C8" s="4">
        <f>'5yr Projection'!E11</f>
        <v>54500</v>
      </c>
    </row>
    <row r="9" spans="2:3">
      <c r="B9" s="3" t="s">
        <v>54</v>
      </c>
      <c r="C9" s="4">
        <f>'5yr Projection'!F11</f>
        <v>66700</v>
      </c>
    </row>
    <row r="10" spans="2:3">
      <c r="B10" s="3" t="s">
        <v>55</v>
      </c>
      <c r="C10" s="4">
        <f>'5yr Projection'!G11</f>
        <v>80155</v>
      </c>
    </row>
    <row r="11" spans="2:3">
      <c r="B11" s="3" t="s">
        <v>56</v>
      </c>
      <c r="C11" s="5">
        <f>SUM(C6:C10)</f>
        <v>243255</v>
      </c>
    </row>
    <row r="12" spans="2:3">
      <c r="B12" s="3" t="s">
        <v>35</v>
      </c>
      <c r="C12" s="6">
        <v>4093</v>
      </c>
    </row>
    <row r="13" spans="2:3">
      <c r="B13" s="3" t="s">
        <v>36</v>
      </c>
      <c r="C13" s="6">
        <v>19038</v>
      </c>
    </row>
    <row r="14" spans="2:3">
      <c r="B14" s="3" t="s">
        <v>37</v>
      </c>
      <c r="C14" s="6">
        <v>21144</v>
      </c>
    </row>
    <row r="15" spans="2:3">
      <c r="B15" s="3" t="s">
        <v>57</v>
      </c>
      <c r="C15" s="4">
        <f>'5yr Projection'!F17</f>
        <v>0</v>
      </c>
    </row>
    <row r="16" spans="2:3">
      <c r="B16" s="3" t="s">
        <v>58</v>
      </c>
      <c r="C16" s="4">
        <f>'5yr Projection'!G17</f>
        <v>0</v>
      </c>
    </row>
    <row r="17" spans="2:3">
      <c r="B17" s="3" t="s">
        <v>59</v>
      </c>
      <c r="C17" s="5">
        <f>SUM(C12:C16)</f>
        <v>44275</v>
      </c>
    </row>
    <row r="18" spans="2:3">
      <c r="B18" s="3" t="s">
        <v>40</v>
      </c>
      <c r="C18" s="7">
        <f>BreakEvenModel!C17</f>
        <v>5</v>
      </c>
    </row>
  </sheetData>
  <mergeCells count="1">
    <mergeCell ref="B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BreakEvenModel</vt:lpstr>
      <vt:lpstr>5yr Projection</vt:lpstr>
      <vt:lpstr>Automated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WPS_1773770013</cp:lastModifiedBy>
  <dcterms:created xsi:type="dcterms:W3CDTF">2026-03-29T00:29:00Z</dcterms:created>
  <dcterms:modified xsi:type="dcterms:W3CDTF">2026-03-30T21:35:56Z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9CEA3F88A14C4C18996075540E23C3E9_12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