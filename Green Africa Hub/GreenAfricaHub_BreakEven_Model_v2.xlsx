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6"/>
  </bookViews>
  <sheets>
    <sheet name="1. Assumptions" sheetId="1" r:id="rId1"/>
    <sheet name="2. Monthly Tracker" sheetId="2" r:id="rId2"/>
    <sheet name="3. Break-Even Analysis" sheetId="3" r:id="rId3"/>
    <sheet name="4. 3-Year Foreca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<sst xmlns="http://schemas.openxmlformats.org/spreadsheetml/2006/main" count="137" uniqueCount="116">
  <si>
    <t>GREEN AFRICA HUB LTD  |  Company No. 17107299  |  www.greenafricahub.org.uk  |  gracetuase@gmail.com  |  CONFIDENTIAL</t>
  </si>
  <si>
    <t>INPUT ASSUMPTIONS — Edit yellow cells to update the entire model</t>
  </si>
  <si>
    <t>IN-PERSON SESSIONS</t>
  </si>
  <si>
    <t>Average price per session (£)</t>
  </si>
  <si>
    <t>Range: £10 community / £25 standard / £50 business</t>
  </si>
  <si>
    <t>Avg participants per session</t>
  </si>
  <si>
    <t>Target 8–15 participants</t>
  </si>
  <si>
    <t>Sessions per month (Year 1 avg)</t>
  </si>
  <si>
    <t>Starts at 4/month, grows to 10 by Month 12</t>
  </si>
  <si>
    <t>Variable cost per session (£)</t>
  </si>
  <si>
    <t>Ingredients £40, materials £5, equipment £10, energy £5</t>
  </si>
  <si>
    <t>DIGITAL SUBSCRIPTIONS</t>
  </si>
  <si>
    <t>Average subscription price (£/month)</t>
  </si>
  <si>
    <t>Basic £10 / Premium £20</t>
  </si>
  <si>
    <t>Subscribers Month 1</t>
  </si>
  <si>
    <t>Grows to 40 by Month 12</t>
  </si>
  <si>
    <t>Subscriber growth per month</t>
  </si>
  <si>
    <t>New subscribers added each month</t>
  </si>
  <si>
    <t>KITCHEN MEMBERSHIPS</t>
  </si>
  <si>
    <t>Average membership price (£/month)</t>
  </si>
  <si>
    <t>Basic £50 / Professional £100</t>
  </si>
  <si>
    <t>Members Month 1</t>
  </si>
  <si>
    <t>Grows to 8 by Month 12</t>
  </si>
  <si>
    <t>Member growth per month</t>
  </si>
  <si>
    <t>New members added each month</t>
  </si>
  <si>
    <t>EQUIPMENT COMMISSIONS</t>
  </si>
  <si>
    <t>Average commission per referral (£)</t>
  </si>
  <si>
    <t>10–15% on average £500 equipment sale</t>
  </si>
  <si>
    <t>Referrals per month</t>
  </si>
  <si>
    <t>Conservative estimate</t>
  </si>
  <si>
    <t>B2B CONSULTING &amp; EVENTS</t>
  </si>
  <si>
    <t>Average engagement value (£)</t>
  </si>
  <si>
    <t>Range: £500–£2,500</t>
  </si>
  <si>
    <t>Engagements per year</t>
  </si>
  <si>
    <t>Year 1 estimate</t>
  </si>
  <si>
    <t>FIXED MONTHLY COSTS</t>
  </si>
  <si>
    <t>Hub space hire (£/month)</t>
  </si>
  <si>
    <t>Community kitchen rental</t>
  </si>
  <si>
    <t>Insurance (£/month)</t>
  </si>
  <si>
    <t>Public liability + contents</t>
  </si>
  <si>
    <t>Website &amp; digital tools (£/month)</t>
  </si>
  <si>
    <t>Hosting, email, tools</t>
  </si>
  <si>
    <t>Marketing (£/month)</t>
  </si>
  <si>
    <t>Social media, print</t>
  </si>
  <si>
    <t>Admin &amp; subscriptions (£/month)</t>
  </si>
  <si>
    <t>Accounting software etc</t>
  </si>
  <si>
    <t>TOTAL FIXED COSTS (£/month)</t>
  </si>
  <si>
    <t>Calculated automatically</t>
  </si>
  <si>
    <t>⚠️  All yellow cells are editable inputs. All other cells update automatically via formulas.</t>
  </si>
  <si>
    <t>MONTH-BY-MONTH REVENUE, COSTS &amp; BREAK-EVEN TRACKER</t>
  </si>
  <si>
    <t/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</si>
  <si>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</si>
  <si>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</si>
  <si>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</si>
  <si>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</si>
  <si>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</si>
  <si>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</si>
  <si>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</si>
  <si>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</si>
  <si>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</si>
  <si>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</si>
  <si>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</si>
  <si>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</si>
  <si>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YEAR 1 TOTAL</t>
  </si>
  <si>
    <t>Session Revenue</t>
  </si>
  <si>
    <t>Subscription Revenue</t>
  </si>
  <si>
    <t>Membership Revenue</t>
  </si>
  <si>
    <t>Commission Revenue</t>
  </si>
  <si>
    <t>Consulting Revenue</t>
  </si>
  <si>
    <t>TOTAL REVENUE</t>
  </si>
  <si>
    <t>Fixed Costs</t>
  </si>
  <si>
    <t>Variable Costs (sessions)</t>
  </si>
  <si>
    <t>TOTAL COSTS</t>
  </si>
  <si>
    <t>Monthly Surplus / (Deficit)</t>
  </si>
  <si>
    <t>Cumulative Position</t>
  </si>
  <si>
    <t>📌  Break-even month = first month where Cumulative Position turns positive (row 17)</t>
  </si>
  <si>
    <t>⚠️  Change any yellow cell on Sheet "1. Assumptions" — all figures here update automatically.</t>
  </si>
  <si>
    <t>BREAK-EVEN ANALYSIS</t>
  </si>
  <si>
    <t>SESSIONS-ONLY BREAK-EVEN (worst case — no subscriptions or memberships)</t>
  </si>
  <si>
    <t>Fixed costs per month (£)</t>
  </si>
  <si>
    <t>Avg revenue per session (£)</t>
  </si>
  <si>
    <t>Contribution margin per session</t>
  </si>
  <si>
    <t>Break-even sessions per month</t>
  </si>
  <si>
    <t>BLENDED BREAK-EVEN (all 5 revenue streams)</t>
  </si>
  <si>
    <t>Month 6 sessions revenue (£)</t>
  </si>
  <si>
    <t>Month 6 subscription revenue (£)</t>
  </si>
  <si>
    <t>Month 6 membership revenue (£)</t>
  </si>
  <si>
    <t>Month 6 commission revenue (£)</t>
  </si>
  <si>
    <t>Month 6 consulting revenue (£)</t>
  </si>
  <si>
    <t>TOTAL MONTH 6 REVENUE (£)</t>
  </si>
  <si>
    <t>Month 6 variable costs (£)</t>
  </si>
  <si>
    <t>TOTAL MONTH 6 COSTS (£)</t>
  </si>
  <si>
    <t>Month 6 Surplus / (Deficit) (£)</t>
  </si>
  <si>
    <t>✅  Estimated break-even: Month 7–8 using blended revenue model</t>
  </si>
  <si>
    <t>Update the yellow input cells on Sheet "1. Assumptions" — all calculations here update automatically.</t>
  </si>
  <si>
    <t>3-YEAR REVENUE FORECAST</t>
  </si>
  <si>
    <t>Revenue Stream</t>
  </si>
  <si>
    <t>Year 1 (£)</t>
  </si>
  <si>
    <t>Year 2 (£)</t>
  </si>
  <si>
    <t>Year 3 (£)</t>
  </si>
  <si>
    <t>In-person Sessions</t>
  </si>
  <si>
    <t>Digital Subscriptions</t>
  </si>
  <si>
    <t>Kitchen Memberships</t>
  </si>
  <si>
    <t>Equipment Commissions</t>
  </si>
  <si>
    <t>B2B Consulting &amp; Events</t>
  </si>
  <si>
    <t>Total Operating Costs</t>
  </si>
  <si>
    <t>NET SURPLUS / (DEFICIT)</t>
  </si>
  <si>
    <t>Year-on-Year Growth</t>
  </si>
  <si>
    <t>—</t>
  </si>
  <si>
    <t>KEY ASSUMPTIONS</t>
  </si>
  <si>
    <t>• Year 1: Bristol pilot phase only — in-person sessions + digital subscriptions</t>
  </si>
  <si>
    <t>• Year 2: Birmingham spoke launch — expanded session capacity + membership growth</t>
  </si>
  <si>
    <t>• Year 3: Manchester spoke + SaaS Carbon Tracker subscription revenue begins</t>
  </si>
  <si>
    <t>• Grant funding NOT included in these projections (represents upside)</t>
  </si>
  <si>
    <t>• Founder salary not included in Year 1 costs (bootstrapped, reinvested)</t>
  </si>
  <si>
    <t>• All figures in GBP. Projections are conservative estimates based on confirmed pricing.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</si>
</sst>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£&quot;#,##0"/>
    <numFmt numFmtId="177" formatCode="&quot;£&quot;#,##0.00"/>
  </numFmts>
  <fonts count="31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</font>
    <font>
      <b/>
      <sz val="14"/>
      <color rgb="FF1A5C38"/>
      <name val="Calibri"/>
      <charset val="134"/>
    </font>
    <font>
      <b/>
      <sz val="11"/>
      <color rgb="FFFFFFFF"/>
      <name val="Calibri"/>
      <charset val="134"/>
    </font>
    <font>
      <sz val="11"/>
      <name val="Calibri"/>
      <charset val="134"/>
    </font>
    <font>
      <b/>
      <sz val="11"/>
      <color rgb="FF1A5C38"/>
      <name val="Calibri"/>
      <charset val="134"/>
    </font>
    <font>
      <i/>
      <sz val="10"/>
      <name val="Calibri"/>
      <charset val="134"/>
    </font>
    <font>
      <b/>
      <sz val="11"/>
      <name val="Calibri"/>
      <charset val="134"/>
    </font>
    <font>
      <i/>
      <sz val="10"/>
      <color rgb="FF664400"/>
      <name val="Calibri"/>
      <charset val="134"/>
    </font>
    <font>
      <i/>
      <sz val="10"/>
      <color rgb="FF1A5C38"/>
      <name val="Calibri"/>
      <charset val="134"/>
    </font>
    <font>
      <sz val="9"/>
      <color rgb="FF88888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A5C38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/>
    <xf numFmtId="176" fontId="3" fillId="2" borderId="1" xfId="0" applyNumberFormat="1" applyFont="1" applyFill="1" applyBorder="1" applyAlignment="1">
      <alignment horizontal="right" vertical="center"/>
    </xf>
    <xf numFmtId="0" fontId="4" fillId="0" borderId="1" xfId="0" applyFont="1" applyBorder="1"/>
    <xf numFmtId="176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9" fontId="5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177" fontId="4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7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177" fontId="5" fillId="0" borderId="1" xfId="0" applyNumberFormat="1" applyFont="1" applyBorder="1" applyAlignment="1">
      <alignment horizontal="right" vertical="center"/>
    </xf>
    <xf numFmtId="0" fontId="5" fillId="0" borderId="0" xfId="0" applyFont="1"/>
    <xf numFmtId="0" fontId="8" fillId="0" borderId="0" xfId="0" applyFont="1"/>
    <xf numFmtId="176" fontId="7" fillId="0" borderId="1" xfId="0" applyNumberFormat="1" applyFont="1" applyBorder="1" applyAlignment="1">
      <alignment horizontal="right" vertical="center"/>
    </xf>
    <xf numFmtId="0" fontId="3" fillId="5" borderId="1" xfId="0" applyFont="1" applyFill="1" applyBorder="1"/>
    <xf numFmtId="176" fontId="3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/>
    <xf numFmtId="176" fontId="5" fillId="0" borderId="1" xfId="0" applyNumberFormat="1" applyFont="1" applyBorder="1" applyAlignment="1">
      <alignment horizontal="right" vertical="center"/>
    </xf>
    <xf numFmtId="0" fontId="9" fillId="0" borderId="0" xfId="0" applyFont="1"/>
    <xf numFmtId="177" fontId="7" fillId="6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3" fontId="7" fillId="6" borderId="1" xfId="0" applyNumberFormat="1" applyFont="1" applyFill="1" applyBorder="1" applyAlignment="1">
      <alignment horizontal="right" vertical="center"/>
    </xf>
    <xf numFmtId="4" fontId="7" fillId="6" borderId="1" xfId="0" applyNumberFormat="1" applyFont="1" applyFill="1" applyBorder="1" applyAlignment="1">
      <alignment horizontal="right" vertical="center"/>
    </xf>
    <xf numFmtId="177" fontId="3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topLeftCell="A16" workbookViewId="0">
      <selection activeCell="B33" sqref="B33"/>
    </sheetView>
  </sheetViews>
  <sheetFormatPr defaultColWidth="9" defaultRowHeight="14.4" outlineLevelCol="2"/>
  <cols>
    <col min="1" max="1" width="38" customWidth="1"/>
    <col min="2" max="2" width="18" customWidth="1"/>
    <col min="3" max="3" width="52.3333333333333" customWidth="1"/>
  </cols>
  <sheetData>
    <row r="1" ht="20" customHeight="1" spans="1:3">
      <c r="A1" s="1" t="s">
        <v>0</v>
      </c>
      <c r="B1" s="1"/>
      <c r="C1" s="1"/>
    </row>
    <row r="2" ht="28" customHeight="1" spans="1:3">
      <c r="A2" s="2" t="s">
        <v>1</v>
      </c>
      <c r="B2" s="2"/>
      <c r="C2" s="2"/>
    </row>
    <row r="3" ht="8" customHeight="1"/>
    <row r="4" ht="22" customHeight="1" spans="1:3">
      <c r="A4" s="13" t="s">
        <v>2</v>
      </c>
      <c r="B4" s="13"/>
      <c r="C4" s="13"/>
    </row>
    <row r="5" ht="20" customHeight="1" spans="1:3">
      <c r="A5" s="4" t="s">
        <v>3</v>
      </c>
      <c r="B5" s="28">
        <v>20</v>
      </c>
      <c r="C5" s="29" t="s">
        <v>4</v>
      </c>
    </row>
    <row r="6" ht="20" customHeight="1" spans="1:3">
      <c r="A6" s="4" t="s">
        <v>5</v>
      </c>
      <c r="B6" s="30">
        <v>8</v>
      </c>
      <c r="C6" s="29" t="s">
        <v>6</v>
      </c>
    </row>
    <row r="7" ht="20" customHeight="1" spans="1:3">
      <c r="A7" s="4" t="s">
        <v>7</v>
      </c>
      <c r="B7" s="30">
        <v>6</v>
      </c>
      <c r="C7" s="29" t="s">
        <v>8</v>
      </c>
    </row>
    <row r="8" ht="20" customHeight="1" spans="1:3">
      <c r="A8" s="4" t="s">
        <v>9</v>
      </c>
      <c r="B8" s="28">
        <v>60</v>
      </c>
      <c r="C8" s="29" t="s">
        <v>10</v>
      </c>
    </row>
    <row r="9" ht="8" customHeight="1"/>
    <row r="10" ht="22" customHeight="1" spans="1:3">
      <c r="A10" s="13" t="s">
        <v>11</v>
      </c>
      <c r="B10" s="13"/>
      <c r="C10" s="13"/>
    </row>
    <row r="11" ht="20" customHeight="1" spans="1:3">
      <c r="A11" s="4" t="s">
        <v>12</v>
      </c>
      <c r="B11" s="28">
        <v>15</v>
      </c>
      <c r="C11" s="29" t="s">
        <v>13</v>
      </c>
    </row>
    <row r="12" ht="20" customHeight="1" spans="1:3">
      <c r="A12" s="4" t="s">
        <v>14</v>
      </c>
      <c r="B12" s="30">
        <v>10</v>
      </c>
      <c r="C12" s="29" t="s">
        <v>15</v>
      </c>
    </row>
    <row r="13" ht="20" customHeight="1" spans="1:3">
      <c r="A13" s="4" t="s">
        <v>16</v>
      </c>
      <c r="B13" s="30">
        <v>3</v>
      </c>
      <c r="C13" s="29" t="s">
        <v>17</v>
      </c>
    </row>
    <row r="14" ht="8" customHeight="1"/>
    <row r="15" ht="22" customHeight="1" spans="1:3">
      <c r="A15" s="13" t="s">
        <v>18</v>
      </c>
      <c r="B15" s="13"/>
      <c r="C15" s="13"/>
    </row>
    <row r="16" ht="20" customHeight="1" spans="1:3">
      <c r="A16" s="4" t="s">
        <v>19</v>
      </c>
      <c r="B16" s="28">
        <v>75</v>
      </c>
      <c r="C16" s="29" t="s">
        <v>20</v>
      </c>
    </row>
    <row r="17" ht="20" customHeight="1" spans="1:3">
      <c r="A17" s="4" t="s">
        <v>21</v>
      </c>
      <c r="B17" s="30">
        <v>2</v>
      </c>
      <c r="C17" s="29" t="s">
        <v>22</v>
      </c>
    </row>
    <row r="18" ht="20" customHeight="1" spans="1:3">
      <c r="A18" s="4" t="s">
        <v>23</v>
      </c>
      <c r="B18" s="31">
        <v>0.5</v>
      </c>
      <c r="C18" s="29" t="s">
        <v>24</v>
      </c>
    </row>
    <row r="19" ht="8" customHeight="1"/>
    <row r="20" ht="22" customHeight="1" spans="1:3">
      <c r="A20" s="13" t="s">
        <v>25</v>
      </c>
      <c r="B20" s="13"/>
      <c r="C20" s="13"/>
    </row>
    <row r="21" ht="20" customHeight="1" spans="1:3">
      <c r="A21" s="4" t="s">
        <v>26</v>
      </c>
      <c r="B21" s="28">
        <v>65</v>
      </c>
      <c r="C21" s="29" t="s">
        <v>27</v>
      </c>
    </row>
    <row r="22" ht="20" customHeight="1" spans="1:3">
      <c r="A22" s="4" t="s">
        <v>28</v>
      </c>
      <c r="B22" s="30">
        <v>2</v>
      </c>
      <c r="C22" s="29" t="s">
        <v>29</v>
      </c>
    </row>
    <row r="23" ht="8" customHeight="1"/>
    <row r="24" ht="22" customHeight="1" spans="1:3">
      <c r="A24" s="13" t="s">
        <v>30</v>
      </c>
      <c r="B24" s="13"/>
      <c r="C24" s="13"/>
    </row>
    <row r="25" ht="20" customHeight="1" spans="1:3">
      <c r="A25" s="4" t="s">
        <v>31</v>
      </c>
      <c r="B25" s="28">
        <v>800</v>
      </c>
      <c r="C25" s="29" t="s">
        <v>32</v>
      </c>
    </row>
    <row r="26" ht="20" customHeight="1" spans="1:3">
      <c r="A26" s="4" t="s">
        <v>33</v>
      </c>
      <c r="B26" s="30">
        <v>5</v>
      </c>
      <c r="C26" s="29" t="s">
        <v>34</v>
      </c>
    </row>
    <row r="27" ht="8" customHeight="1"/>
    <row r="28" ht="22" customHeight="1" spans="1:3">
      <c r="A28" s="13" t="s">
        <v>35</v>
      </c>
      <c r="B28" s="13"/>
      <c r="C28" s="13"/>
    </row>
    <row r="29" ht="20" customHeight="1" spans="1:3">
      <c r="A29" s="4" t="s">
        <v>36</v>
      </c>
      <c r="B29" s="28">
        <v>800</v>
      </c>
      <c r="C29" s="29" t="s">
        <v>37</v>
      </c>
    </row>
    <row r="30" ht="20" customHeight="1" spans="1:3">
      <c r="A30" s="4" t="s">
        <v>38</v>
      </c>
      <c r="B30" s="28">
        <v>80</v>
      </c>
      <c r="C30" s="29" t="s">
        <v>39</v>
      </c>
    </row>
    <row r="31" ht="20" customHeight="1" spans="1:3">
      <c r="A31" s="4" t="s">
        <v>40</v>
      </c>
      <c r="B31" s="28">
        <v>50</v>
      </c>
      <c r="C31" s="29" t="s">
        <v>41</v>
      </c>
    </row>
    <row r="32" ht="20" customHeight="1" spans="1:3">
      <c r="A32" s="4" t="s">
        <v>42</v>
      </c>
      <c r="B32" s="28">
        <v>100</v>
      </c>
      <c r="C32" s="29" t="s">
        <v>43</v>
      </c>
    </row>
    <row r="33" ht="20" customHeight="1" spans="1:3">
      <c r="A33" s="4" t="s">
        <v>44</v>
      </c>
      <c r="B33" s="28">
        <v>50</v>
      </c>
      <c r="C33" s="29" t="s">
        <v>45</v>
      </c>
    </row>
    <row r="34" ht="22" customHeight="1" spans="1:3">
      <c r="A34" s="25" t="s">
        <v>46</v>
      </c>
      <c r="B34" s="32">
        <f>B29+B30+B31+B32+B33</f>
        <v>1080</v>
      </c>
      <c r="C34" s="33" t="s">
        <v>47</v>
      </c>
    </row>
    <row r="35" ht="8" customHeight="1"/>
    <row r="36" spans="1:3">
      <c r="A36" s="21" t="s">
        <v>48</v>
      </c>
      <c r="B36" s="21"/>
      <c r="C36" s="21"/>
    </row>
  </sheetData>
  <mergeCells count="9">
    <mergeCell ref="A1:C1"/>
    <mergeCell ref="A2:C2"/>
    <mergeCell ref="A4:C4"/>
    <mergeCell ref="A10:C10"/>
    <mergeCell ref="A15:C15"/>
    <mergeCell ref="A20:C20"/>
    <mergeCell ref="A24:C24"/>
    <mergeCell ref="A28:C28"/>
    <mergeCell ref="A36:C36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C5" sqref="C5"/>
    </sheetView>
  </sheetViews>
  <sheetFormatPr defaultColWidth="9" defaultRowHeight="14.4"/>
  <cols>
    <col min="1" max="1" width="22" customWidth="1"/>
    <col min="2" max="13" width="10" customWidth="1"/>
    <col min="14" max="14" width="12" customWidth="1"/>
  </cols>
  <sheetData>
    <row r="1" ht="20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1:14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8" customHeight="1"/>
    <row r="4" ht="22" customHeight="1" spans="1:14">
      <c r="A4" s="3" t="s">
        <v>50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59</v>
      </c>
      <c r="K4" s="3" t="s">
        <v>60</v>
      </c>
      <c r="L4" s="3" t="s">
        <v>61</v>
      </c>
      <c r="M4" s="3" t="s">
        <v>62</v>
      </c>
      <c r="N4" s="3" t="s">
        <v>63</v>
      </c>
    </row>
    <row r="5" ht="20" customHeight="1" spans="1:14">
      <c r="A5" s="9" t="s">
        <v>64</v>
      </c>
      <c r="B5" s="5">
        <f>4*'1. Assumptions'!$B$5*'1. Assumptions'!$B$6</f>
        <v>640</v>
      </c>
      <c r="C5" s="6">
        <f>4*'1. Assumptions'!$B$5*'1. Assumptions'!$B$6</f>
        <v>640</v>
      </c>
      <c r="D5" s="5">
        <f>5*'1. Assumptions'!$B$5*'1. Assumptions'!$B$6</f>
        <v>800</v>
      </c>
      <c r="E5" s="6">
        <f>6*'1. Assumptions'!$B$5*'1. Assumptions'!$B$6</f>
        <v>960</v>
      </c>
      <c r="F5" s="5">
        <f>7*'1. Assumptions'!$B$5*'1. Assumptions'!$B$6</f>
        <v>1120</v>
      </c>
      <c r="G5" s="6">
        <f>8*'1. Assumptions'!$B$5*'1. Assumptions'!$B$6</f>
        <v>1280</v>
      </c>
      <c r="H5" s="5">
        <f>8*'1. Assumptions'!$B$5*'1. Assumptions'!$B$6</f>
        <v>1280</v>
      </c>
      <c r="I5" s="6">
        <f>9*'1. Assumptions'!$B$5*'1. Assumptions'!$B$6</f>
        <v>1440</v>
      </c>
      <c r="J5" s="5">
        <f>9*'1. Assumptions'!$B$5*'1. Assumptions'!$B$6</f>
        <v>1440</v>
      </c>
      <c r="K5" s="6">
        <f>10*'1. Assumptions'!$B$5*'1. Assumptions'!$B$6</f>
        <v>1600</v>
      </c>
      <c r="L5" s="5">
        <f>10*'1. Assumptions'!$B$5*'1. Assumptions'!$B$6</f>
        <v>1600</v>
      </c>
      <c r="M5" s="6">
        <f>12*'1. Assumptions'!$B$5*'1. Assumptions'!$B$6</f>
        <v>1920</v>
      </c>
      <c r="N5" s="8">
        <f t="shared" ref="N5:N10" si="0">SUM(B5:M5)</f>
        <v>14720</v>
      </c>
    </row>
    <row r="6" ht="20" customHeight="1" spans="1:14">
      <c r="A6" s="9" t="s">
        <v>65</v>
      </c>
      <c r="B6" s="5">
        <f>10*'1. Assumptions'!$B$11</f>
        <v>150</v>
      </c>
      <c r="C6" s="6">
        <f>13*'1. Assumptions'!$B$11</f>
        <v>195</v>
      </c>
      <c r="D6" s="5">
        <f>16*'1. Assumptions'!$B$11</f>
        <v>240</v>
      </c>
      <c r="E6" s="6">
        <f>19*'1. Assumptions'!$B$11</f>
        <v>285</v>
      </c>
      <c r="F6" s="5">
        <f>22*'1. Assumptions'!$B$11</f>
        <v>330</v>
      </c>
      <c r="G6" s="6">
        <f>25*'1. Assumptions'!$B$11</f>
        <v>375</v>
      </c>
      <c r="H6" s="5">
        <f>28*'1. Assumptions'!$B$11</f>
        <v>420</v>
      </c>
      <c r="I6" s="6">
        <f>31*'1. Assumptions'!$B$11</f>
        <v>465</v>
      </c>
      <c r="J6" s="5">
        <f>34*'1. Assumptions'!$B$11</f>
        <v>510</v>
      </c>
      <c r="K6" s="6">
        <f>37*'1. Assumptions'!$B$11</f>
        <v>555</v>
      </c>
      <c r="L6" s="5">
        <f>40*'1. Assumptions'!$B$11</f>
        <v>600</v>
      </c>
      <c r="M6" s="6">
        <f>42*'1. Assumptions'!$B$11</f>
        <v>630</v>
      </c>
      <c r="N6" s="8">
        <f t="shared" si="0"/>
        <v>4755</v>
      </c>
    </row>
    <row r="7" ht="20" customHeight="1" spans="1:14">
      <c r="A7" s="9" t="s">
        <v>66</v>
      </c>
      <c r="B7" s="5">
        <f>2*'1. Assumptions'!$B$16</f>
        <v>150</v>
      </c>
      <c r="C7" s="6">
        <f>2*'1. Assumptions'!$B$16</f>
        <v>150</v>
      </c>
      <c r="D7" s="5">
        <f>3*'1. Assumptions'!$B$16</f>
        <v>225</v>
      </c>
      <c r="E7" s="6">
        <f>3*'1. Assumptions'!$B$16</f>
        <v>225</v>
      </c>
      <c r="F7" s="5">
        <f>4*'1. Assumptions'!$B$16</f>
        <v>300</v>
      </c>
      <c r="G7" s="6">
        <f>5*'1. Assumptions'!$B$16</f>
        <v>375</v>
      </c>
      <c r="H7" s="5">
        <f>5*'1. Assumptions'!$B$16</f>
        <v>375</v>
      </c>
      <c r="I7" s="6">
        <f>6*'1. Assumptions'!$B$16</f>
        <v>450</v>
      </c>
      <c r="J7" s="5">
        <f>6*'1. Assumptions'!$B$16</f>
        <v>450</v>
      </c>
      <c r="K7" s="6">
        <f>7*'1. Assumptions'!$B$16</f>
        <v>525</v>
      </c>
      <c r="L7" s="5">
        <f>8*'1. Assumptions'!$B$16</f>
        <v>600</v>
      </c>
      <c r="M7" s="6">
        <f>8*'1. Assumptions'!$B$16</f>
        <v>600</v>
      </c>
      <c r="N7" s="8">
        <f t="shared" si="0"/>
        <v>4425</v>
      </c>
    </row>
    <row r="8" ht="20" customHeight="1" spans="1:14">
      <c r="A8" s="9" t="s">
        <v>67</v>
      </c>
      <c r="B8" s="5">
        <f>'1. Assumptions'!$B$21*'1. Assumptions'!$B$22</f>
        <v>130</v>
      </c>
      <c r="C8" s="6">
        <f>'1. Assumptions'!$B$21*'1. Assumptions'!$B$22</f>
        <v>130</v>
      </c>
      <c r="D8" s="5">
        <f>'1. Assumptions'!$B$21*'1. Assumptions'!$B$22</f>
        <v>130</v>
      </c>
      <c r="E8" s="6">
        <f>'1. Assumptions'!$B$21*'1. Assumptions'!$B$22</f>
        <v>130</v>
      </c>
      <c r="F8" s="5">
        <f>'1. Assumptions'!$B$21*'1. Assumptions'!$B$22</f>
        <v>130</v>
      </c>
      <c r="G8" s="6">
        <f>'1. Assumptions'!$B$21*'1. Assumptions'!$B$22</f>
        <v>130</v>
      </c>
      <c r="H8" s="5">
        <f>'1. Assumptions'!$B$21*'1. Assumptions'!$B$22</f>
        <v>130</v>
      </c>
      <c r="I8" s="6">
        <f>'1. Assumptions'!$B$21*'1. Assumptions'!$B$22</f>
        <v>130</v>
      </c>
      <c r="J8" s="5">
        <f>'1. Assumptions'!$B$21*'1. Assumptions'!$B$22</f>
        <v>130</v>
      </c>
      <c r="K8" s="6">
        <f>'1. Assumptions'!$B$21*'1. Assumptions'!$B$22</f>
        <v>130</v>
      </c>
      <c r="L8" s="5">
        <f>'1. Assumptions'!$B$21*'1. Assumptions'!$B$22</f>
        <v>130</v>
      </c>
      <c r="M8" s="6">
        <f>'1. Assumptions'!$B$21*'1. Assumptions'!$B$22</f>
        <v>130</v>
      </c>
      <c r="N8" s="8">
        <f t="shared" si="0"/>
        <v>1560</v>
      </c>
    </row>
    <row r="9" ht="20" customHeight="1" spans="1:14">
      <c r="A9" s="9" t="s">
        <v>68</v>
      </c>
      <c r="B9" s="5">
        <v>0</v>
      </c>
      <c r="C9" s="6">
        <v>0</v>
      </c>
      <c r="D9" s="5">
        <v>800</v>
      </c>
      <c r="E9" s="6">
        <v>0</v>
      </c>
      <c r="F9" s="5">
        <v>0</v>
      </c>
      <c r="G9" s="6">
        <v>800</v>
      </c>
      <c r="H9" s="5">
        <v>0</v>
      </c>
      <c r="I9" s="6">
        <v>800</v>
      </c>
      <c r="J9" s="5">
        <v>0</v>
      </c>
      <c r="K9" s="6">
        <v>800</v>
      </c>
      <c r="L9" s="5">
        <v>0</v>
      </c>
      <c r="M9" s="6">
        <v>800</v>
      </c>
      <c r="N9" s="8">
        <f t="shared" si="0"/>
        <v>4000</v>
      </c>
    </row>
    <row r="10" ht="22" customHeight="1" spans="1:14">
      <c r="A10" s="7" t="s">
        <v>69</v>
      </c>
      <c r="B10" s="8">
        <f t="shared" ref="B10:M10" si="1">SUM(B5:B9)</f>
        <v>1070</v>
      </c>
      <c r="C10" s="8">
        <f t="shared" si="1"/>
        <v>1115</v>
      </c>
      <c r="D10" s="8">
        <f t="shared" si="1"/>
        <v>2195</v>
      </c>
      <c r="E10" s="8">
        <f t="shared" si="1"/>
        <v>1600</v>
      </c>
      <c r="F10" s="8">
        <f t="shared" si="1"/>
        <v>1880</v>
      </c>
      <c r="G10" s="8">
        <f t="shared" si="1"/>
        <v>2960</v>
      </c>
      <c r="H10" s="8">
        <f t="shared" si="1"/>
        <v>2205</v>
      </c>
      <c r="I10" s="8">
        <f t="shared" si="1"/>
        <v>3285</v>
      </c>
      <c r="J10" s="8">
        <f t="shared" si="1"/>
        <v>2530</v>
      </c>
      <c r="K10" s="8">
        <f t="shared" si="1"/>
        <v>3610</v>
      </c>
      <c r="L10" s="8">
        <f t="shared" si="1"/>
        <v>2930</v>
      </c>
      <c r="M10" s="8">
        <f t="shared" si="1"/>
        <v>4080</v>
      </c>
      <c r="N10" s="8">
        <f t="shared" si="0"/>
        <v>29460</v>
      </c>
    </row>
    <row r="11" ht="8" customHeight="1"/>
    <row r="12" ht="20" customHeight="1" spans="1:14">
      <c r="A12" s="9" t="s">
        <v>70</v>
      </c>
      <c r="B12" s="10">
        <f>'1. Assumptions'!$B$34</f>
        <v>1080</v>
      </c>
      <c r="C12" s="6">
        <f>'1. Assumptions'!$B$34</f>
        <v>1080</v>
      </c>
      <c r="D12" s="10">
        <f>'1. Assumptions'!$B$34</f>
        <v>1080</v>
      </c>
      <c r="E12" s="6">
        <f>'1. Assumptions'!$B$34</f>
        <v>1080</v>
      </c>
      <c r="F12" s="10">
        <f>'1. Assumptions'!$B$34</f>
        <v>1080</v>
      </c>
      <c r="G12" s="6">
        <f>'1. Assumptions'!$B$34</f>
        <v>1080</v>
      </c>
      <c r="H12" s="10">
        <f>'1. Assumptions'!$B$34</f>
        <v>1080</v>
      </c>
      <c r="I12" s="6">
        <f>'1. Assumptions'!$B$34</f>
        <v>1080</v>
      </c>
      <c r="J12" s="10">
        <f>'1. Assumptions'!$B$34</f>
        <v>1080</v>
      </c>
      <c r="K12" s="6">
        <f>'1. Assumptions'!$B$34</f>
        <v>1080</v>
      </c>
      <c r="L12" s="10">
        <f>'1. Assumptions'!$B$34</f>
        <v>1080</v>
      </c>
      <c r="M12" s="6">
        <f>'1. Assumptions'!$B$34</f>
        <v>1080</v>
      </c>
      <c r="N12" s="22">
        <f>SUM(B12:M12)</f>
        <v>12960</v>
      </c>
    </row>
    <row r="13" ht="20" customHeight="1" spans="1:14">
      <c r="A13" s="9" t="s">
        <v>71</v>
      </c>
      <c r="B13" s="10">
        <f>4*'1. Assumptions'!$B$8</f>
        <v>240</v>
      </c>
      <c r="C13" s="6">
        <f>4*'1. Assumptions'!$B$8</f>
        <v>240</v>
      </c>
      <c r="D13" s="10">
        <f>5*'1. Assumptions'!$B$8</f>
        <v>300</v>
      </c>
      <c r="E13" s="6">
        <f>6*'1. Assumptions'!$B$8</f>
        <v>360</v>
      </c>
      <c r="F13" s="10">
        <f>7*'1. Assumptions'!$B$8</f>
        <v>420</v>
      </c>
      <c r="G13" s="6">
        <f>8*'1. Assumptions'!$B$8</f>
        <v>480</v>
      </c>
      <c r="H13" s="10">
        <f>8*'1. Assumptions'!$B$8</f>
        <v>480</v>
      </c>
      <c r="I13" s="6">
        <f>9*'1. Assumptions'!$B$8</f>
        <v>540</v>
      </c>
      <c r="J13" s="10">
        <f>9*'1. Assumptions'!$B$8</f>
        <v>540</v>
      </c>
      <c r="K13" s="6">
        <f>10*'1. Assumptions'!$B$8</f>
        <v>600</v>
      </c>
      <c r="L13" s="10">
        <f>10*'1. Assumptions'!$B$8</f>
        <v>600</v>
      </c>
      <c r="M13" s="6">
        <f>12*'1. Assumptions'!$B$8</f>
        <v>720</v>
      </c>
      <c r="N13" s="22">
        <f>SUM(B13:M13)</f>
        <v>5520</v>
      </c>
    </row>
    <row r="14" ht="22" customHeight="1" spans="1:14">
      <c r="A14" s="23" t="s">
        <v>72</v>
      </c>
      <c r="B14" s="24">
        <f t="shared" ref="B14:M14" si="2">B12+B13</f>
        <v>1320</v>
      </c>
      <c r="C14" s="24">
        <f t="shared" si="2"/>
        <v>1320</v>
      </c>
      <c r="D14" s="24">
        <f t="shared" si="2"/>
        <v>1380</v>
      </c>
      <c r="E14" s="24">
        <f t="shared" si="2"/>
        <v>1440</v>
      </c>
      <c r="F14" s="24">
        <f t="shared" si="2"/>
        <v>1500</v>
      </c>
      <c r="G14" s="24">
        <f t="shared" si="2"/>
        <v>1560</v>
      </c>
      <c r="H14" s="24">
        <f t="shared" si="2"/>
        <v>1560</v>
      </c>
      <c r="I14" s="24">
        <f t="shared" si="2"/>
        <v>1620</v>
      </c>
      <c r="J14" s="24">
        <f t="shared" si="2"/>
        <v>1620</v>
      </c>
      <c r="K14" s="24">
        <f t="shared" si="2"/>
        <v>1680</v>
      </c>
      <c r="L14" s="24">
        <f t="shared" si="2"/>
        <v>1680</v>
      </c>
      <c r="M14" s="24">
        <f t="shared" si="2"/>
        <v>1800</v>
      </c>
      <c r="N14" s="24">
        <f>SUM(B14:M14)</f>
        <v>18480</v>
      </c>
    </row>
    <row r="15" ht="8" customHeight="1"/>
    <row r="16" ht="22" customHeight="1" spans="1:14">
      <c r="A16" s="25" t="s">
        <v>73</v>
      </c>
      <c r="B16" s="22">
        <f t="shared" ref="B16:M16" si="3">B10-B14</f>
        <v>-250</v>
      </c>
      <c r="C16" s="22">
        <f t="shared" si="3"/>
        <v>-205</v>
      </c>
      <c r="D16" s="22">
        <f t="shared" si="3"/>
        <v>815</v>
      </c>
      <c r="E16" s="22">
        <f t="shared" si="3"/>
        <v>160</v>
      </c>
      <c r="F16" s="22">
        <f t="shared" si="3"/>
        <v>380</v>
      </c>
      <c r="G16" s="22">
        <f t="shared" si="3"/>
        <v>1400</v>
      </c>
      <c r="H16" s="22">
        <f t="shared" si="3"/>
        <v>645</v>
      </c>
      <c r="I16" s="22">
        <f t="shared" si="3"/>
        <v>1665</v>
      </c>
      <c r="J16" s="22">
        <f t="shared" si="3"/>
        <v>910</v>
      </c>
      <c r="K16" s="22">
        <f t="shared" si="3"/>
        <v>1930</v>
      </c>
      <c r="L16" s="22">
        <f t="shared" si="3"/>
        <v>1250</v>
      </c>
      <c r="M16" s="22">
        <f t="shared" si="3"/>
        <v>2280</v>
      </c>
      <c r="N16" s="22">
        <f>SUM(B16:M16)</f>
        <v>10980</v>
      </c>
    </row>
    <row r="17" ht="22" customHeight="1" spans="1:14">
      <c r="A17" s="25" t="s">
        <v>74</v>
      </c>
      <c r="B17" s="22">
        <f>B16</f>
        <v>-250</v>
      </c>
      <c r="C17" s="22">
        <f t="shared" ref="C17:M17" si="4">B17+C16</f>
        <v>-455</v>
      </c>
      <c r="D17" s="22">
        <f t="shared" si="4"/>
        <v>360</v>
      </c>
      <c r="E17" s="22">
        <f t="shared" si="4"/>
        <v>520</v>
      </c>
      <c r="F17" s="22">
        <f t="shared" si="4"/>
        <v>900</v>
      </c>
      <c r="G17" s="22">
        <f t="shared" si="4"/>
        <v>2300</v>
      </c>
      <c r="H17" s="22">
        <f t="shared" si="4"/>
        <v>2945</v>
      </c>
      <c r="I17" s="22">
        <f t="shared" si="4"/>
        <v>4610</v>
      </c>
      <c r="J17" s="22">
        <f t="shared" si="4"/>
        <v>5520</v>
      </c>
      <c r="K17" s="22">
        <f t="shared" si="4"/>
        <v>7450</v>
      </c>
      <c r="L17" s="22">
        <f t="shared" si="4"/>
        <v>8700</v>
      </c>
      <c r="M17" s="22">
        <f t="shared" si="4"/>
        <v>10980</v>
      </c>
      <c r="N17" s="26">
        <f>M17</f>
        <v>10980</v>
      </c>
    </row>
    <row r="18" ht="8" customHeight="1"/>
    <row r="19" spans="1:14">
      <c r="A19" s="27" t="s">
        <v>75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spans="1:14">
      <c r="A20" s="21" t="s">
        <v>76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</sheetData>
  <mergeCells count="4">
    <mergeCell ref="A1:N1"/>
    <mergeCell ref="A2:N2"/>
    <mergeCell ref="A19:N19"/>
    <mergeCell ref="A20:N20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opLeftCell="A21" workbookViewId="0">
      <selection activeCell="F11" sqref="F11"/>
    </sheetView>
  </sheetViews>
  <sheetFormatPr defaultColWidth="9" defaultRowHeight="14.4" outlineLevelCol="2"/>
  <cols>
    <col min="1" max="1" width="40" customWidth="1"/>
    <col min="2" max="2" width="20" customWidth="1"/>
    <col min="3" max="3" width="25" customWidth="1"/>
  </cols>
  <sheetData>
    <row r="1" ht="20" customHeight="1" spans="1:3">
      <c r="A1" s="1" t="s">
        <v>0</v>
      </c>
      <c r="B1" s="1"/>
      <c r="C1" s="1"/>
    </row>
    <row r="2" ht="28" customHeight="1" spans="1:3">
      <c r="A2" s="2" t="s">
        <v>77</v>
      </c>
      <c r="B2" s="2"/>
      <c r="C2" s="2"/>
    </row>
    <row r="3" ht="8" customHeight="1"/>
    <row r="4" ht="22" customHeight="1" spans="1:3">
      <c r="A4" s="13" t="s">
        <v>78</v>
      </c>
      <c r="B4" s="13"/>
      <c r="C4" s="13"/>
    </row>
    <row r="5" ht="20" customHeight="1" spans="1:3">
      <c r="A5" s="4" t="s">
        <v>79</v>
      </c>
      <c r="B5" s="15">
        <f>'1. Assumptions'!B34</f>
        <v>1080</v>
      </c>
      <c r="C5" s="16" t="s">
        <v>50</v>
      </c>
    </row>
    <row r="6" ht="20" customHeight="1" spans="1:3">
      <c r="A6" s="4" t="s">
        <v>80</v>
      </c>
      <c r="B6" s="15">
        <f>'1. Assumptions'!B5*'1. Assumptions'!B6</f>
        <v>160</v>
      </c>
      <c r="C6" s="16" t="s">
        <v>50</v>
      </c>
    </row>
    <row r="7" ht="20" customHeight="1" spans="1:3">
      <c r="A7" s="4" t="s">
        <v>9</v>
      </c>
      <c r="B7" s="15">
        <f>'1. Assumptions'!B8</f>
        <v>60</v>
      </c>
      <c r="C7" s="16" t="s">
        <v>50</v>
      </c>
    </row>
    <row r="8" ht="20" customHeight="1" spans="1:3">
      <c r="A8" s="4" t="s">
        <v>81</v>
      </c>
      <c r="B8" s="15">
        <f>B6-B7</f>
        <v>100</v>
      </c>
      <c r="C8" s="16" t="s">
        <v>50</v>
      </c>
    </row>
    <row r="9" ht="20" customHeight="1" spans="1:3">
      <c r="A9" s="17" t="s">
        <v>82</v>
      </c>
      <c r="B9" s="18">
        <f>ROUNDUP(B5/B8,0)</f>
        <v>11</v>
      </c>
      <c r="C9" s="16" t="s">
        <v>50</v>
      </c>
    </row>
    <row r="10" ht="8" customHeight="1"/>
    <row r="11" ht="22" customHeight="1" spans="1:3">
      <c r="A11" s="13" t="s">
        <v>83</v>
      </c>
      <c r="B11" s="13"/>
      <c r="C11" s="13"/>
    </row>
    <row r="12" ht="20" customHeight="1" spans="1:3">
      <c r="A12" s="4" t="s">
        <v>79</v>
      </c>
      <c r="B12" s="15">
        <f>'1. Assumptions'!B34</f>
        <v>1080</v>
      </c>
      <c r="C12" s="16" t="s">
        <v>50</v>
      </c>
    </row>
    <row r="13" ht="20" customHeight="1" spans="1:3">
      <c r="A13" s="4" t="s">
        <v>84</v>
      </c>
      <c r="B13" s="15">
        <f>8*'1. Assumptions'!$B$5*'1. Assumptions'!$B$6</f>
        <v>1280</v>
      </c>
      <c r="C13" s="16" t="s">
        <v>50</v>
      </c>
    </row>
    <row r="14" ht="20" customHeight="1" spans="1:3">
      <c r="A14" s="4" t="s">
        <v>85</v>
      </c>
      <c r="B14" s="15">
        <f>25*'1. Assumptions'!$B$11</f>
        <v>375</v>
      </c>
      <c r="C14" s="16" t="s">
        <v>50</v>
      </c>
    </row>
    <row r="15" ht="20" customHeight="1" spans="1:3">
      <c r="A15" s="4" t="s">
        <v>86</v>
      </c>
      <c r="B15" s="15">
        <f>5*'1. Assumptions'!$B$16</f>
        <v>375</v>
      </c>
      <c r="C15" s="16" t="s">
        <v>50</v>
      </c>
    </row>
    <row r="16" ht="20" customHeight="1" spans="1:3">
      <c r="A16" s="4" t="s">
        <v>87</v>
      </c>
      <c r="B16" s="15">
        <f>'1. Assumptions'!$B$21*'1. Assumptions'!$B$22</f>
        <v>130</v>
      </c>
      <c r="C16" s="16" t="s">
        <v>50</v>
      </c>
    </row>
    <row r="17" ht="20" customHeight="1" spans="1:3">
      <c r="A17" s="4" t="s">
        <v>88</v>
      </c>
      <c r="B17" s="15">
        <f>800</f>
        <v>800</v>
      </c>
      <c r="C17" s="16" t="s">
        <v>50</v>
      </c>
    </row>
    <row r="18" ht="20" customHeight="1" spans="1:3">
      <c r="A18" s="17" t="s">
        <v>89</v>
      </c>
      <c r="B18" s="19">
        <f>SUM(B13:B17)</f>
        <v>2960</v>
      </c>
      <c r="C18" s="16" t="s">
        <v>50</v>
      </c>
    </row>
    <row r="19" ht="20" customHeight="1" spans="1:3">
      <c r="A19" s="4" t="s">
        <v>90</v>
      </c>
      <c r="B19" s="15">
        <f>8*'1. Assumptions'!$B$8</f>
        <v>480</v>
      </c>
      <c r="C19" s="16" t="s">
        <v>50</v>
      </c>
    </row>
    <row r="20" ht="20" customHeight="1" spans="1:3">
      <c r="A20" s="17" t="s">
        <v>91</v>
      </c>
      <c r="B20" s="19">
        <f>B12+B19</f>
        <v>1560</v>
      </c>
      <c r="C20" s="16" t="s">
        <v>50</v>
      </c>
    </row>
    <row r="21" ht="20" customHeight="1" spans="1:3">
      <c r="A21" s="17" t="s">
        <v>92</v>
      </c>
      <c r="B21" s="19">
        <f>B18-B20</f>
        <v>1400</v>
      </c>
      <c r="C21" s="16" t="s">
        <v>50</v>
      </c>
    </row>
    <row r="22" ht="8" customHeight="1"/>
    <row r="23" spans="1:3">
      <c r="A23" s="20" t="s">
        <v>93</v>
      </c>
      <c r="B23" s="20"/>
      <c r="C23" s="20"/>
    </row>
    <row r="24" spans="1:3">
      <c r="A24" s="21" t="s">
        <v>94</v>
      </c>
      <c r="B24" s="21"/>
      <c r="C24" s="21"/>
    </row>
  </sheetData>
  <mergeCells count="6">
    <mergeCell ref="A1:C1"/>
    <mergeCell ref="A2:C2"/>
    <mergeCell ref="A4:C4"/>
    <mergeCell ref="A11:C11"/>
    <mergeCell ref="A23:C23"/>
    <mergeCell ref="A24:C24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H2" sqref="H2"/>
    </sheetView>
  </sheetViews>
  <sheetFormatPr defaultColWidth="9" defaultRowHeight="14.4" outlineLevelCol="3"/>
  <cols>
    <col min="1" max="1" width="32" customWidth="1"/>
    <col min="2" max="3" width="16" customWidth="1"/>
    <col min="4" max="4" width="44.6666666666667" customWidth="1"/>
  </cols>
  <sheetData>
    <row r="1" ht="20" customHeight="1" spans="1:4">
      <c r="A1" s="1" t="s">
        <v>0</v>
      </c>
      <c r="B1" s="1"/>
      <c r="C1" s="1"/>
      <c r="D1" s="1"/>
    </row>
    <row r="2" ht="28" customHeight="1" spans="1:4">
      <c r="A2" s="2" t="s">
        <v>95</v>
      </c>
      <c r="B2" s="2"/>
      <c r="C2" s="2"/>
      <c r="D2" s="2"/>
    </row>
    <row r="3" ht="8" customHeight="1"/>
    <row r="4" ht="22" customHeight="1" spans="1:4">
      <c r="A4" s="3" t="s">
        <v>96</v>
      </c>
      <c r="B4" s="3" t="s">
        <v>97</v>
      </c>
      <c r="C4" s="3" t="s">
        <v>98</v>
      </c>
      <c r="D4" s="3" t="s">
        <v>99</v>
      </c>
    </row>
    <row r="5" ht="20" customHeight="1" spans="1:4">
      <c r="A5" s="4" t="s">
        <v>100</v>
      </c>
      <c r="B5" s="5">
        <v>8400</v>
      </c>
      <c r="C5" s="5">
        <v>28800</v>
      </c>
      <c r="D5" s="5">
        <v>54000</v>
      </c>
    </row>
    <row r="6" ht="20" customHeight="1" spans="1:4">
      <c r="A6" s="4" t="s">
        <v>101</v>
      </c>
      <c r="B6" s="6">
        <v>7200</v>
      </c>
      <c r="C6" s="6">
        <v>28800</v>
      </c>
      <c r="D6" s="6">
        <v>57600</v>
      </c>
    </row>
    <row r="7" ht="20" customHeight="1" spans="1:4">
      <c r="A7" s="4" t="s">
        <v>102</v>
      </c>
      <c r="B7" s="5">
        <v>6000</v>
      </c>
      <c r="C7" s="5">
        <v>18000</v>
      </c>
      <c r="D7" s="5">
        <v>24000</v>
      </c>
    </row>
    <row r="8" ht="20" customHeight="1" spans="1:4">
      <c r="A8" s="4" t="s">
        <v>103</v>
      </c>
      <c r="B8" s="6">
        <v>2600</v>
      </c>
      <c r="C8" s="6">
        <v>6500</v>
      </c>
      <c r="D8" s="6">
        <v>10400</v>
      </c>
    </row>
    <row r="9" ht="20" customHeight="1" spans="1:4">
      <c r="A9" s="4" t="s">
        <v>104</v>
      </c>
      <c r="B9" s="5">
        <v>4000</v>
      </c>
      <c r="C9" s="5">
        <v>5400</v>
      </c>
      <c r="D9" s="5">
        <v>6000</v>
      </c>
    </row>
    <row r="10" ht="22" customHeight="1" spans="1:4">
      <c r="A10" s="7" t="s">
        <v>69</v>
      </c>
      <c r="B10" s="8">
        <f>SUM(B5:B9)</f>
        <v>28200</v>
      </c>
      <c r="C10" s="8">
        <f>SUM(C5:C9)</f>
        <v>87500</v>
      </c>
      <c r="D10" s="8">
        <f>SUM(D5:D9)</f>
        <v>152000</v>
      </c>
    </row>
    <row r="11" ht="8" customHeight="1"/>
    <row r="12" ht="20" customHeight="1" spans="1:4">
      <c r="A12" s="9" t="s">
        <v>105</v>
      </c>
      <c r="B12" s="10">
        <v>20160</v>
      </c>
      <c r="C12" s="10">
        <v>38000</v>
      </c>
      <c r="D12" s="10">
        <v>55000</v>
      </c>
    </row>
    <row r="13" ht="22" customHeight="1" spans="1:4">
      <c r="A13" s="7" t="s">
        <v>106</v>
      </c>
      <c r="B13" s="8">
        <f>B10-B12</f>
        <v>8040</v>
      </c>
      <c r="C13" s="8">
        <f>C10-C12</f>
        <v>49500</v>
      </c>
      <c r="D13" s="8">
        <f>D10-D12</f>
        <v>97000</v>
      </c>
    </row>
    <row r="14" ht="20" customHeight="1" spans="1:4">
      <c r="A14" s="9" t="s">
        <v>107</v>
      </c>
      <c r="B14" s="11" t="s">
        <v>108</v>
      </c>
      <c r="C14" s="12">
        <f>(C10-B10)/B10</f>
        <v>2.10283687943262</v>
      </c>
      <c r="D14" s="12">
        <f>(D10-C10)/C10</f>
        <v>0.737142857142857</v>
      </c>
    </row>
    <row r="15" ht="8" customHeight="1"/>
    <row r="16" ht="22" customHeight="1" spans="1:4">
      <c r="A16" s="13" t="s">
        <v>109</v>
      </c>
      <c r="B16" s="13"/>
      <c r="C16" s="13"/>
      <c r="D16" s="13"/>
    </row>
    <row r="17" ht="18" customHeight="1" spans="1:4">
      <c r="A17" s="14" t="s">
        <v>110</v>
      </c>
      <c r="B17" s="14"/>
      <c r="C17" s="14"/>
      <c r="D17" s="14"/>
    </row>
    <row r="18" ht="18" customHeight="1" spans="1:4">
      <c r="A18" s="14" t="s">
        <v>111</v>
      </c>
      <c r="B18" s="14"/>
      <c r="C18" s="14"/>
      <c r="D18" s="14"/>
    </row>
    <row r="19" ht="18" customHeight="1" spans="1:4">
      <c r="A19" s="14" t="s">
        <v>112</v>
      </c>
      <c r="B19" s="14"/>
      <c r="C19" s="14"/>
      <c r="D19" s="14"/>
    </row>
    <row r="20" ht="18" customHeight="1" spans="1:4">
      <c r="A20" s="14" t="s">
        <v>113</v>
      </c>
      <c r="B20" s="14"/>
      <c r="C20" s="14"/>
      <c r="D20" s="14"/>
    </row>
    <row r="21" ht="18" customHeight="1" spans="1:4">
      <c r="A21" s="14" t="s">
        <v>114</v>
      </c>
      <c r="B21" s="14"/>
      <c r="C21" s="14"/>
      <c r="D21" s="14"/>
    </row>
    <row r="22" ht="18" customHeight="1" spans="1:4">
      <c r="A22" s="14" t="s">
        <v>115</v>
      </c>
      <c r="B22" s="14"/>
      <c r="C22" s="14"/>
      <c r="D22" s="14"/>
    </row>
  </sheetData>
  <mergeCells count="9">
    <mergeCell ref="A1:D1"/>
    <mergeCell ref="A2:D2"/>
    <mergeCell ref="A16:D16"/>
    <mergeCell ref="A17:D17"/>
    <mergeCell ref="A18:D18"/>
    <mergeCell ref="A19:D19"/>
    <mergeCell ref="A20:D20"/>
    <mergeCell ref="A21:D21"/>
    <mergeCell ref="A22:D2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Assumptions</vt:lpstr>
      <vt:lpstr>2. Monthly Tracker</vt:lpstr>
      <vt:lpstr>3. Break-Even Analysis</vt:lpstr>
      <vt:lpstr>4. 3-Year Forecast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WPS_1773770013</cp:lastModifiedBy>
  <dcterms:created xsi:type="dcterms:W3CDTF">2026-03-26T20:08:00Z</dcterms:created>
  <dcterms:modified xsi:type="dcterms:W3CDTF">2026-03-26T20:15:39Z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106DFF65B7AC4FEFB7B3A55C51A3A51F_12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